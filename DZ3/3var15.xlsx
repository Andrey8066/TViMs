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charts/colors1.xml" ContentType="application/vnd.ms-office.chartcolorstyle+xml"/>
  <Override PartName="/xl/charts/style1.xml" ContentType="application/vnd.ms-office.chartstyle+xml"/>
  <Override PartName="/docProps/core.xml" ContentType="application/vnd.openxmlformats-package.core-properties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<sst xmlns="http://schemas.openxmlformats.org/spreadsheetml/2006/main" count="2" uniqueCount="2">
  <si>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 xml:space="preserve">Статистический ряд</t>
  </si>
  <si>
    <t xml:space="preserve">Выберем число промежутков p = 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</si>
</sst>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0" numFmtId="2" xfId="0" applyNumberFormat="1"/>
    <xf fontId="0" fillId="0" borderId="0" numFmtId="2" xfId="0" applyNumberFormat="1">
      <protection hidden="0" locked="1"/>
    </xf>
    <xf fontId="0" fillId="0" borderId="0" numFmtId="0" xfId="0" applyAlignment="1">
      <alignment horizontal="center"/>
    </xf>
    <xf fontId="0" fillId="0" borderId="0" numFmtId="0" xfId="0"/>
    <xf fontId="0" fillId="0" borderId="0" numFmtId="49" xfId="0" applyNumberForma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numRef>
              <c:f>'Лист1'!$A$11:$N$11</c:f>
            </c:numRef>
          </c:cat>
          <c:val>
            <c:numRef>
              <c:f>'Лист1'!$A$12:$N$12</c:f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219"/>
        <c:overlap val="-26"/>
        <c:axId val="1866169479"/>
        <c:axId val="1866169480"/>
      </c:barChart>
      <c:catAx>
        <c:axId val="1866169479"/>
        <c:scaling>
          <c:orientation val="minMax"/>
        </c:scaling>
        <c:delete val="0"/>
        <c:axPos val="b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80"/>
        <c:crosses val="autoZero"/>
        <c:auto val="1"/>
        <c:lblAlgn val="ctr"/>
        <c:lblOffset val="100"/>
        <c:tickMarkSkip val="1"/>
        <c:noMultiLvlLbl val="0"/>
      </c:catAx>
      <c:valAx>
        <c:axId val="186616948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7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5730239" y="3398519"/>
      <a:ext cx="4556759" cy="272795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cat>
            <c:numRef>
              <c:f>'Лист1'!$A$16:$F$16</c:f>
            </c:numRef>
          </c:cat>
          <c:val>
            <c:numRef>
              <c:f>'Лист1'!$A$18:$G$18</c:f>
            </c:numRef>
          </c:val>
        </c:ser>
        <c:dLbls>
          <c:showBubbleSize val="0"/>
          <c:showCatName val="0"/>
          <c:showLegendKey val="0"/>
          <c:showPercent val="0"/>
          <c:showSerName val="0"/>
          <c:showVal val="0"/>
        </c:dLbls>
        <c:gapWidth val="219"/>
        <c:overlap val="-26"/>
        <c:axId val="1866169481"/>
        <c:axId val="1866169482"/>
      </c:barChart>
      <c:catAx>
        <c:axId val="1866169481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p>
                <a:pPr>
                  <a:defRPr/>
                </a:pPr>
                <a:r>
                  <a:rPr/>
                  <a:t>Вляжность</a:t>
                </a:r>
                <a:endParaRPr/>
              </a:p>
            </c:rich>
          </c:tx>
          <c:layout/>
          <c:overlay val="0"/>
          <c:txPr>
            <a:bodyPr/>
            <a:p>
              <a:pPr>
                <a:defRPr/>
              </a:pPr>
              <a:endParaRPr/>
            </a:p>
          </c:txPr>
        </c:title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82"/>
        <c:crosses val="autoZero"/>
        <c:auto val="1"/>
        <c:lblAlgn val="ctr"/>
        <c:lblOffset val="100"/>
        <c:tickMarkSkip val="1"/>
        <c:noMultiLvlLbl val="0"/>
      </c:catAx>
      <c:valAx>
        <c:axId val="186616948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</c:spPr>
        </c:minorGridlines>
        <c:title>
          <c:tx>
            <c:rich>
              <a:bodyPr/>
              <a:p>
                <a:pPr>
                  <a:defRPr/>
                </a:pPr>
                <a:r>
                  <a:rPr/>
                  <a:t> Число кирпичей с данной влажностью</a:t>
                </a:r>
                <a:endParaRPr/>
              </a:p>
            </c:rich>
          </c:tx>
          <c:layout/>
          <c:overlay val="0"/>
          <c:txPr>
            <a:bodyPr/>
            <a:p>
              <a:pPr>
                <a:defRPr/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8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plotVisOnly val="1"/>
    <c:dispBlanksAs val="gap"/>
    <c:showDLblsOverMax val="0"/>
  </c:chart>
  <c:spPr bwMode="auto">
    <a:xfrm rot="0">
      <a:off x="7701914" y="3398518"/>
      <a:ext cx="7452358" cy="517398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9</xdr:col>
      <xdr:colOff>243839</xdr:colOff>
      <xdr:row>18</xdr:row>
      <xdr:rowOff>106679</xdr:rowOff>
    </xdr:from>
    <xdr:to>
      <xdr:col>16</xdr:col>
      <xdr:colOff>533399</xdr:colOff>
      <xdr:row>33</xdr:row>
      <xdr:rowOff>91439</xdr:rowOff>
    </xdr:to>
    <xdr:graphicFrame>
      <xdr:nvGraphicFramePr>
        <xdr:cNvPr id="981890905" name=""/>
        <xdr:cNvGraphicFramePr>
          <a:graphicFrameLocks xmlns:a="http://schemas.openxmlformats.org/drawingml/2006/main"/>
        </xdr:cNvGraphicFramePr>
      </xdr:nvGraphicFramePr>
      <xdr:xfrm rot="0">
        <a:off x="5730239" y="3398519"/>
        <a:ext cx="4556759" cy="272795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12</xdr:col>
      <xdr:colOff>386714</xdr:colOff>
      <xdr:row>18</xdr:row>
      <xdr:rowOff>106678</xdr:rowOff>
    </xdr:from>
    <xdr:to>
      <xdr:col>24</xdr:col>
      <xdr:colOff>523873</xdr:colOff>
      <xdr:row>46</xdr:row>
      <xdr:rowOff>160019</xdr:rowOff>
    </xdr:to>
    <xdr:graphicFrame>
      <xdr:nvGraphicFramePr>
        <xdr:cNvPr id="1222826035" name=""/>
        <xdr:cNvGraphicFramePr>
          <a:graphicFrameLocks xmlns:a="http://schemas.openxmlformats.org/drawingml/2006/main"/>
        </xdr:cNvGraphicFramePr>
      </xdr:nvGraphicFramePr>
      <xdr:xfrm rot="0">
        <a:off x="7701914" y="3398518"/>
        <a:ext cx="7452358" cy="5173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>
        <f>7.1</f>
        <v>7.0999999999999996</v>
      </c>
      <c r="B1" s="1">
        <v>6.7000000000000002</v>
      </c>
      <c r="C1" s="1">
        <v>7</v>
      </c>
      <c r="D1" s="1">
        <v>7.2999999999999998</v>
      </c>
      <c r="E1" s="1">
        <v>7.2000000000000002</v>
      </c>
      <c r="F1" s="1">
        <v>7.0999999999999996</v>
      </c>
      <c r="G1" s="1">
        <v>6.9000000000000004</v>
      </c>
      <c r="H1" s="1">
        <v>6.7999999999999998</v>
      </c>
      <c r="I1" s="1">
        <v>7.5</v>
      </c>
      <c r="J1" s="1">
        <v>7</v>
      </c>
      <c r="Q1">
        <f t="shared" ref="Q1:Q8" si="0">A1*A1</f>
        <v>50.409999999999997</v>
      </c>
      <c r="R1">
        <f t="shared" ref="R1:R8" si="1">B1*B1</f>
        <v>44.890000000000001</v>
      </c>
      <c r="S1">
        <f t="shared" ref="S1:S8" si="2">C1*C1</f>
        <v>49</v>
      </c>
      <c r="T1">
        <f t="shared" ref="T1:T8" si="3">D1*D1</f>
        <v>53.289999999999999</v>
      </c>
      <c r="U1">
        <f t="shared" ref="U1:U8" si="4">E1*E1</f>
        <v>51.840000000000003</v>
      </c>
      <c r="V1">
        <f t="shared" ref="V1:V8" si="5">F1*F1</f>
        <v>50.409999999999997</v>
      </c>
      <c r="W1">
        <f t="shared" ref="W1:W8" si="6">G1*G1</f>
        <v>47.610000000000007</v>
      </c>
      <c r="X1">
        <f t="shared" ref="X1:X8" si="7">H1*H1</f>
        <v>46.239999999999995</v>
      </c>
      <c r="Y1">
        <f t="shared" ref="Y1:Y8" si="8">I1*I1</f>
        <v>56.25</v>
      </c>
      <c r="Z1">
        <f t="shared" ref="Z1:Z8" si="9">J1*J1</f>
        <v>49</v>
      </c>
    </row>
    <row r="2" ht="14.25">
      <c r="A2" s="1">
        <f>7</f>
        <v>7</v>
      </c>
      <c r="B2" s="1">
        <v>7.0999999999999996</v>
      </c>
      <c r="C2" s="1">
        <v>7.0999999999999996</v>
      </c>
      <c r="D2" s="1">
        <v>6.7999999999999998</v>
      </c>
      <c r="E2" s="1">
        <v>7.2000000000000002</v>
      </c>
      <c r="F2" s="1">
        <v>7</v>
      </c>
      <c r="G2" s="1">
        <v>7.2000000000000002</v>
      </c>
      <c r="H2" s="1">
        <v>6.9000000000000004</v>
      </c>
      <c r="I2" s="1">
        <v>6.7000000000000002</v>
      </c>
      <c r="J2" s="1">
        <v>6.9000000000000004</v>
      </c>
      <c r="Q2">
        <f t="shared" si="0"/>
        <v>49</v>
      </c>
      <c r="R2">
        <f t="shared" si="1"/>
        <v>50.409999999999997</v>
      </c>
      <c r="S2">
        <f t="shared" si="2"/>
        <v>50.409999999999997</v>
      </c>
      <c r="T2">
        <f t="shared" si="3"/>
        <v>46.239999999999995</v>
      </c>
      <c r="U2">
        <f t="shared" si="4"/>
        <v>51.840000000000003</v>
      </c>
      <c r="V2">
        <f t="shared" si="5"/>
        <v>49</v>
      </c>
      <c r="W2">
        <f t="shared" si="6"/>
        <v>51.840000000000003</v>
      </c>
      <c r="X2">
        <f t="shared" si="7"/>
        <v>47.610000000000007</v>
      </c>
      <c r="Y2">
        <f t="shared" si="8"/>
        <v>44.890000000000001</v>
      </c>
      <c r="Z2">
        <f t="shared" si="9"/>
        <v>47.610000000000007</v>
      </c>
      <c r="AB2">
        <f>SUM(Q1:Z8)</f>
        <v>3954.2199999999993</v>
      </c>
    </row>
    <row r="3" ht="14.25">
      <c r="A3" s="2">
        <v>6.9000000000000004</v>
      </c>
      <c r="B3" s="2">
        <v>7</v>
      </c>
      <c r="C3" s="2">
        <v>7</v>
      </c>
      <c r="D3" s="1">
        <v>6.7999999999999998</v>
      </c>
      <c r="E3" s="2">
        <v>6.9000000000000004</v>
      </c>
      <c r="F3" s="2">
        <v>7</v>
      </c>
      <c r="G3" s="2">
        <v>7</v>
      </c>
      <c r="H3" s="1">
        <v>7.0999999999999996</v>
      </c>
      <c r="I3" s="2">
        <v>6.7999999999999998</v>
      </c>
      <c r="J3" s="1">
        <v>7.0999999999999996</v>
      </c>
      <c r="Q3">
        <f t="shared" si="0"/>
        <v>47.610000000000007</v>
      </c>
      <c r="R3">
        <f t="shared" si="1"/>
        <v>49</v>
      </c>
      <c r="S3">
        <f t="shared" si="2"/>
        <v>49</v>
      </c>
      <c r="T3">
        <f t="shared" si="3"/>
        <v>46.239999999999995</v>
      </c>
      <c r="U3">
        <f t="shared" si="4"/>
        <v>47.610000000000007</v>
      </c>
      <c r="V3">
        <f t="shared" si="5"/>
        <v>49</v>
      </c>
      <c r="W3">
        <f t="shared" si="6"/>
        <v>49</v>
      </c>
      <c r="X3">
        <f t="shared" si="7"/>
        <v>50.409999999999997</v>
      </c>
      <c r="Y3">
        <f t="shared" si="8"/>
        <v>46.239999999999995</v>
      </c>
      <c r="Z3">
        <f t="shared" si="9"/>
        <v>50.409999999999997</v>
      </c>
      <c r="AB3">
        <f>AB2/80</f>
        <v>49.427749999999989</v>
      </c>
    </row>
    <row r="4" ht="14.25">
      <c r="A4" s="1">
        <v>7.2000000000000002</v>
      </c>
      <c r="B4" s="2">
        <v>7.0999999999999996</v>
      </c>
      <c r="C4" s="2">
        <v>6.9000000000000004</v>
      </c>
      <c r="D4" s="2">
        <v>6.7000000000000002</v>
      </c>
      <c r="E4" s="2">
        <v>7.0999999999999996</v>
      </c>
      <c r="F4" s="2">
        <v>6.9000000000000004</v>
      </c>
      <c r="G4" s="2">
        <v>6.9000000000000004</v>
      </c>
      <c r="H4" s="2">
        <v>7.0999999999999996</v>
      </c>
      <c r="I4" s="2">
        <v>7</v>
      </c>
      <c r="J4" s="1">
        <v>7.2999999999999998</v>
      </c>
      <c r="O4" s="1">
        <f>SUM(A1:J8)</f>
        <v>562.20000000000005</v>
      </c>
      <c r="Q4">
        <f t="shared" si="0"/>
        <v>51.840000000000003</v>
      </c>
      <c r="R4">
        <f t="shared" si="1"/>
        <v>50.409999999999997</v>
      </c>
      <c r="S4">
        <f t="shared" si="2"/>
        <v>47.610000000000007</v>
      </c>
      <c r="T4">
        <f t="shared" si="3"/>
        <v>44.890000000000001</v>
      </c>
      <c r="U4">
        <f t="shared" si="4"/>
        <v>50.409999999999997</v>
      </c>
      <c r="V4">
        <f t="shared" si="5"/>
        <v>47.610000000000007</v>
      </c>
      <c r="W4">
        <f t="shared" si="6"/>
        <v>47.610000000000007</v>
      </c>
      <c r="X4">
        <f t="shared" si="7"/>
        <v>50.409999999999997</v>
      </c>
      <c r="Y4">
        <f t="shared" si="8"/>
        <v>49</v>
      </c>
      <c r="Z4">
        <f t="shared" si="9"/>
        <v>53.289999999999999</v>
      </c>
      <c r="AB4">
        <f>O5*O5</f>
        <v>49.385756250000007</v>
      </c>
    </row>
    <row r="5" ht="14.25">
      <c r="A5" s="1">
        <v>6.7999999999999998</v>
      </c>
      <c r="B5" s="2">
        <v>7.2999999999999998</v>
      </c>
      <c r="C5" s="1">
        <v>7.4000000000000004</v>
      </c>
      <c r="D5" s="2">
        <v>6.7999999999999998</v>
      </c>
      <c r="E5" s="2">
        <v>7.2000000000000002</v>
      </c>
      <c r="F5" s="2">
        <v>7.2000000000000002</v>
      </c>
      <c r="G5" s="2">
        <v>6.7999999999999998</v>
      </c>
      <c r="H5" s="2">
        <v>6.7000000000000002</v>
      </c>
      <c r="I5" s="2">
        <v>7.2999999999999998</v>
      </c>
      <c r="J5" s="1">
        <v>7.0999999999999996</v>
      </c>
      <c r="O5">
        <f>O4/80</f>
        <v>7.0275000000000007</v>
      </c>
      <c r="Q5">
        <f t="shared" si="0"/>
        <v>46.239999999999995</v>
      </c>
      <c r="R5">
        <f t="shared" si="1"/>
        <v>53.289999999999999</v>
      </c>
      <c r="S5">
        <f t="shared" si="2"/>
        <v>54.760000000000005</v>
      </c>
      <c r="T5">
        <f t="shared" si="3"/>
        <v>46.239999999999995</v>
      </c>
      <c r="U5">
        <f t="shared" si="4"/>
        <v>51.840000000000003</v>
      </c>
      <c r="V5">
        <f t="shared" si="5"/>
        <v>51.840000000000003</v>
      </c>
      <c r="W5">
        <f t="shared" si="6"/>
        <v>46.239999999999995</v>
      </c>
      <c r="X5">
        <f t="shared" si="7"/>
        <v>44.890000000000001</v>
      </c>
      <c r="Y5">
        <f t="shared" si="8"/>
        <v>53.289999999999999</v>
      </c>
      <c r="Z5">
        <f t="shared" si="9"/>
        <v>50.409999999999997</v>
      </c>
      <c r="AB5">
        <f>AB3-AB4</f>
        <v>0.041993749999981844</v>
      </c>
    </row>
    <row r="6" ht="14.25">
      <c r="A6" s="2">
        <v>6.9000000000000004</v>
      </c>
      <c r="B6" s="1">
        <v>7.5999999999999996</v>
      </c>
      <c r="C6" s="2">
        <v>7</v>
      </c>
      <c r="D6" s="1">
        <v>6.5</v>
      </c>
      <c r="E6" s="2">
        <v>7.0999999999999996</v>
      </c>
      <c r="F6" s="2">
        <v>7.2000000000000002</v>
      </c>
      <c r="G6" s="2">
        <v>7</v>
      </c>
      <c r="H6" s="2">
        <v>7</v>
      </c>
      <c r="I6" s="2">
        <v>6.9000000000000004</v>
      </c>
      <c r="J6" s="1">
        <v>7</v>
      </c>
      <c r="Q6">
        <f t="shared" si="0"/>
        <v>47.610000000000007</v>
      </c>
      <c r="R6">
        <f t="shared" si="1"/>
        <v>57.759999999999998</v>
      </c>
      <c r="S6">
        <f t="shared" si="2"/>
        <v>49</v>
      </c>
      <c r="T6">
        <f t="shared" si="3"/>
        <v>42.25</v>
      </c>
      <c r="U6">
        <f t="shared" si="4"/>
        <v>50.409999999999997</v>
      </c>
      <c r="V6">
        <f t="shared" si="5"/>
        <v>51.840000000000003</v>
      </c>
      <c r="W6">
        <f t="shared" si="6"/>
        <v>49</v>
      </c>
      <c r="X6">
        <f t="shared" si="7"/>
        <v>49</v>
      </c>
      <c r="Y6">
        <f t="shared" si="8"/>
        <v>47.610000000000007</v>
      </c>
      <c r="Z6">
        <f t="shared" si="9"/>
        <v>49</v>
      </c>
      <c r="AB6">
        <f>AB5*80/79</f>
        <v>0.042525316455677815</v>
      </c>
    </row>
    <row r="7" ht="14.25">
      <c r="A7" s="1">
        <v>6.7000000000000002</v>
      </c>
      <c r="B7" s="2">
        <v>6.7999999999999998</v>
      </c>
      <c r="C7" s="2">
        <v>7.0999999999999996</v>
      </c>
      <c r="D7" s="2">
        <v>7.2000000000000002</v>
      </c>
      <c r="E7" s="2">
        <v>7.0999999999999996</v>
      </c>
      <c r="F7" s="1">
        <v>7.5</v>
      </c>
      <c r="G7" s="2">
        <v>7.0999999999999996</v>
      </c>
      <c r="H7" s="2">
        <v>6.7999999999999998</v>
      </c>
      <c r="I7" s="2">
        <v>6.9000000000000004</v>
      </c>
      <c r="J7" s="1">
        <v>7.2000000000000002</v>
      </c>
      <c r="Q7">
        <f t="shared" si="0"/>
        <v>44.890000000000001</v>
      </c>
      <c r="R7">
        <f t="shared" si="1"/>
        <v>46.239999999999995</v>
      </c>
      <c r="S7">
        <f t="shared" si="2"/>
        <v>50.409999999999997</v>
      </c>
      <c r="T7">
        <f t="shared" si="3"/>
        <v>51.840000000000003</v>
      </c>
      <c r="U7">
        <f t="shared" si="4"/>
        <v>50.409999999999997</v>
      </c>
      <c r="V7">
        <f t="shared" si="5"/>
        <v>56.25</v>
      </c>
      <c r="W7">
        <f t="shared" si="6"/>
        <v>50.409999999999997</v>
      </c>
      <c r="X7">
        <f t="shared" si="7"/>
        <v>46.239999999999995</v>
      </c>
      <c r="Y7">
        <f t="shared" si="8"/>
        <v>47.610000000000007</v>
      </c>
      <c r="Z7">
        <f t="shared" si="9"/>
        <v>51.840000000000003</v>
      </c>
    </row>
    <row r="8" ht="14.25">
      <c r="A8" s="2">
        <v>7.2000000000000002</v>
      </c>
      <c r="B8" s="2">
        <v>6.9000000000000004</v>
      </c>
      <c r="C8" s="2">
        <v>7.0999999999999996</v>
      </c>
      <c r="D8" s="1">
        <v>7.5</v>
      </c>
      <c r="E8" s="2">
        <v>7</v>
      </c>
      <c r="F8" s="2">
        <v>7.0999999999999996</v>
      </c>
      <c r="G8" s="2">
        <v>7</v>
      </c>
      <c r="H8" s="2">
        <v>7.0999999999999996</v>
      </c>
      <c r="I8" s="2">
        <v>6.7999999999999998</v>
      </c>
      <c r="J8" s="1">
        <v>7</v>
      </c>
      <c r="Q8">
        <f t="shared" si="0"/>
        <v>51.840000000000003</v>
      </c>
      <c r="R8">
        <f t="shared" si="1"/>
        <v>47.610000000000007</v>
      </c>
      <c r="S8">
        <f t="shared" si="2"/>
        <v>50.409999999999997</v>
      </c>
      <c r="T8">
        <f t="shared" si="3"/>
        <v>56.25</v>
      </c>
      <c r="U8">
        <f t="shared" si="4"/>
        <v>49</v>
      </c>
      <c r="V8">
        <f t="shared" si="5"/>
        <v>50.409999999999997</v>
      </c>
      <c r="W8">
        <f t="shared" si="6"/>
        <v>49</v>
      </c>
      <c r="X8">
        <f t="shared" si="7"/>
        <v>50.409999999999997</v>
      </c>
      <c r="Y8">
        <f t="shared" si="8"/>
        <v>46.239999999999995</v>
      </c>
      <c r="Z8">
        <f t="shared" si="9"/>
        <v>49</v>
      </c>
    </row>
    <row r="10" ht="14.25">
      <c r="A10" s="3" t="s">
        <v>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14.25">
      <c r="A11" s="1">
        <f>6.4</f>
        <v>6.4000000000000004</v>
      </c>
      <c r="B11" s="1">
        <f>6.5</f>
        <v>6.5</v>
      </c>
      <c r="C11" s="1">
        <f>6.6</f>
        <v>6.5999999999999996</v>
      </c>
      <c r="D11" s="1">
        <f>6.7</f>
        <v>6.7000000000000002</v>
      </c>
      <c r="E11" s="1">
        <f>6.8</f>
        <v>6.7999999999999998</v>
      </c>
      <c r="F11" s="1">
        <f>6.9</f>
        <v>6.9000000000000004</v>
      </c>
      <c r="G11" s="1">
        <f>7</f>
        <v>7</v>
      </c>
      <c r="H11" s="1">
        <f>7.1</f>
        <v>7.0999999999999996</v>
      </c>
      <c r="I11" s="1">
        <f>7.2</f>
        <v>7.2000000000000002</v>
      </c>
      <c r="J11" s="1">
        <f>7.3</f>
        <v>7.2999999999999998</v>
      </c>
      <c r="K11" s="1">
        <f>7.4</f>
        <v>7.4000000000000004</v>
      </c>
      <c r="L11" s="1">
        <f>7.5</f>
        <v>7.5</v>
      </c>
      <c r="M11" s="1">
        <f>7.6</f>
        <v>7.5999999999999996</v>
      </c>
      <c r="N11">
        <f>7.7</f>
        <v>7.7000000000000002</v>
      </c>
    </row>
    <row r="12" ht="14.25">
      <c r="A12" s="1">
        <f>COUNTIF($A$1:$J$8,A11)</f>
        <v>0</v>
      </c>
      <c r="B12" s="1">
        <f>COUNTIF($A$1:$J$8,B11)</f>
        <v>1</v>
      </c>
      <c r="C12" s="1">
        <f>COUNTIF($A$1:$J$8,C11)</f>
        <v>0</v>
      </c>
      <c r="D12" s="1">
        <f>COUNTIF($A$1:$J$8,D11)</f>
        <v>5</v>
      </c>
      <c r="E12" s="1">
        <f>COUNTIF($A$1:$J$8,E11)</f>
        <v>10</v>
      </c>
      <c r="F12" s="1">
        <f>COUNTIF($A$1:$J$8,6.9)</f>
        <v>12</v>
      </c>
      <c r="G12" s="1">
        <f>COUNTIF($A$1:$J$8,G11)</f>
        <v>16</v>
      </c>
      <c r="H12" s="1">
        <f>COUNTIF($A$1:$J$8,H11)</f>
        <v>17</v>
      </c>
      <c r="I12" s="1">
        <f>COUNTIF($A$1:$J$8,I11)</f>
        <v>10</v>
      </c>
      <c r="J12" s="1">
        <f>COUNTIF($A$1:$J$8,J11)</f>
        <v>4</v>
      </c>
      <c r="K12" s="1">
        <f>COUNTIF($A$1:$J$8,K11)</f>
        <v>1</v>
      </c>
      <c r="L12" s="1">
        <f>COUNTIF($A$1:$J$8,L11)</f>
        <v>3</v>
      </c>
      <c r="M12" s="1">
        <f>COUNTIF($A$1:$J$8,M11)</f>
        <v>1</v>
      </c>
      <c r="N12" s="1">
        <f>COUNTIF($A$1:$J$8,N11)</f>
        <v>0</v>
      </c>
    </row>
    <row r="14" ht="14.25">
      <c r="A14" s="3" t="s">
        <v>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4.25">
      <c r="A15">
        <f>6.5</f>
        <v>6.5</v>
      </c>
      <c r="B15">
        <f>6.7</f>
        <v>6.7000000000000002</v>
      </c>
      <c r="C15">
        <f>6.9</f>
        <v>6.9000000000000004</v>
      </c>
      <c r="D15">
        <f>7.1</f>
        <v>7.0999999999999996</v>
      </c>
      <c r="E15" s="4">
        <f>7.3</f>
        <v>7.2999999999999998</v>
      </c>
      <c r="F15">
        <f>7.5</f>
        <v>7.5</v>
      </c>
      <c r="G15">
        <f>7.7</f>
        <v>7.7000000000000002</v>
      </c>
      <c r="H15" s="4"/>
    </row>
    <row r="16" ht="14.25">
      <c r="A16" s="5">
        <f>AVERAGE(A15,A17)</f>
        <v>6.5999999999999996</v>
      </c>
      <c r="B16" s="5">
        <f>AVERAGE(B15,B17)</f>
        <v>6.8000000000000007</v>
      </c>
      <c r="C16" s="5">
        <f>AVERAGE(C15,C17)</f>
        <v>7</v>
      </c>
      <c r="D16" s="5">
        <f>AVERAGE(D15,D17)</f>
        <v>7.1999999999999993</v>
      </c>
      <c r="E16" s="5">
        <f>AVERAGE(E15,E17)</f>
        <v>7.4000000000000004</v>
      </c>
      <c r="F16" s="5">
        <f>AVERAGE(F15,F17)</f>
        <v>7.5999999999999996</v>
      </c>
      <c r="G16" s="5">
        <f>AVERAGE(G15,G17)</f>
        <v>7.8000000000000007</v>
      </c>
      <c r="S16">
        <f>17*17</f>
        <v>289</v>
      </c>
    </row>
    <row r="17" ht="14.25">
      <c r="A17">
        <f>6.7</f>
        <v>6.7000000000000002</v>
      </c>
      <c r="B17" s="6">
        <f>6.9</f>
        <v>6.9000000000000004</v>
      </c>
      <c r="C17" s="6">
        <f>7.1</f>
        <v>7.0999999999999996</v>
      </c>
      <c r="D17">
        <f>7.3</f>
        <v>7.2999999999999998</v>
      </c>
      <c r="E17" s="6">
        <f>7.5</f>
        <v>7.5</v>
      </c>
      <c r="F17" s="6">
        <f>7.7</f>
        <v>7.7000000000000002</v>
      </c>
      <c r="G17">
        <f>7.9</f>
        <v>7.9000000000000004</v>
      </c>
    </row>
    <row r="18" ht="14.25">
      <c r="A18">
        <f>COUNTIFS($A$1:$J$8,"&lt;"&amp;A17,$A$1:$J$8,"&gt;="&amp;A15)</f>
        <v>1</v>
      </c>
      <c r="B18">
        <f>COUNTIFS($A$1:$J$8,"&lt;"&amp;B17,$A$1:$J$8,"&gt;="&amp;B15)</f>
        <v>15</v>
      </c>
      <c r="C18">
        <f>COUNTIFS($A$1:$J$8,"&lt;"&amp;C17,$A$1:$J$8,"&gt;="&amp;C15)</f>
        <v>28</v>
      </c>
      <c r="D18">
        <f>COUNTIFS($A$1:$J$8,"&lt;"&amp;D17,$A$1:$J$8,"&gt;="&amp;D15)</f>
        <v>27</v>
      </c>
      <c r="E18">
        <f>COUNTIFS($A$1:$J$8,"&lt;"&amp;E17,$A$1:$J$8,"&gt;="&amp;E15)</f>
        <v>5</v>
      </c>
      <c r="F18">
        <f>COUNTIFS($A$1:$J$8,"&lt;"&amp;F17,$A$1:$J$8,"&gt;="&amp;F15)</f>
        <v>4</v>
      </c>
      <c r="G18">
        <f>COUNTIFS($A$1:$J$8,"&lt;"&amp;G17,$A$1:$J$8,"&gt;="&amp;G15)</f>
        <v>0</v>
      </c>
      <c r="I18">
        <f>SUM(A18:H18)</f>
        <v>80</v>
      </c>
    </row>
    <row r="19" ht="14.25">
      <c r="A19">
        <f>A18/(80*0.2)</f>
        <v>0.0625</v>
      </c>
      <c r="B19">
        <f>B18/(80*0.2)</f>
        <v>0.9375</v>
      </c>
      <c r="C19">
        <f>C18/(80*0.2)</f>
        <v>1.75</v>
      </c>
      <c r="D19">
        <f>D18/(80*0.2)</f>
        <v>1.6875</v>
      </c>
      <c r="E19">
        <f>E18/(80*0.2)</f>
        <v>0.3125</v>
      </c>
      <c r="F19">
        <f>F18/(80*0.2)</f>
        <v>0.25</v>
      </c>
      <c r="G19">
        <f>G18/(80*0.2)</f>
        <v>0</v>
      </c>
      <c r="I19">
        <f>SUM(A19:G19)</f>
        <v>5</v>
      </c>
    </row>
  </sheetData>
  <mergeCells count="2">
    <mergeCell ref="A10:L10"/>
    <mergeCell ref="A14:N1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2025-12-23T23:04:35Z</dcterms:modified>
</cp:coreProperties>
</file>